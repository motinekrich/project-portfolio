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tlegoland/Library/Mobile Documents/com~apple~CloudDocs/resume/"/>
    </mc:Choice>
  </mc:AlternateContent>
  <xr:revisionPtr revIDLastSave="0" documentId="13_ncr:1_{E04600CB-26BD-C642-875F-4757F1E45CAB}" xr6:coauthVersionLast="47" xr6:coauthVersionMax="47" xr10:uidLastSave="{00000000-0000-0000-0000-000000000000}"/>
  <bookViews>
    <workbookView xWindow="8340" yWindow="980" windowWidth="28040" windowHeight="17440" xr2:uid="{15440D18-9D62-2646-83BF-0732E7001F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0" i="1"/>
  <c r="C13" i="1"/>
  <c r="C14" i="1" s="1"/>
  <c r="B8" i="1" s="1"/>
  <c r="E12" i="1"/>
  <c r="C15" i="1" l="1"/>
  <c r="C4" i="1"/>
  <c r="D4" i="1" s="1"/>
  <c r="C2" i="1"/>
  <c r="D2" i="1" s="1"/>
  <c r="C7" i="1"/>
  <c r="D7" i="1" s="1"/>
  <c r="C6" i="1"/>
  <c r="D6" i="1" s="1"/>
  <c r="C5" i="1"/>
  <c r="D5" i="1" s="1"/>
  <c r="C10" i="1" l="1"/>
  <c r="D10" i="1" s="1"/>
  <c r="C3" i="1"/>
  <c r="D3" i="1" s="1"/>
  <c r="C8" i="1"/>
  <c r="D8" i="1" s="1"/>
  <c r="B18" i="1" l="1"/>
  <c r="B20" i="1"/>
</calcChain>
</file>

<file path=xl/sharedStrings.xml><?xml version="1.0" encoding="utf-8"?>
<sst xmlns="http://schemas.openxmlformats.org/spreadsheetml/2006/main" count="39" uniqueCount="32">
  <si>
    <t>company</t>
  </si>
  <si>
    <t>subscriber count</t>
  </si>
  <si>
    <t>as per</t>
  </si>
  <si>
    <t>source</t>
  </si>
  <si>
    <t>public?</t>
  </si>
  <si>
    <t>no</t>
  </si>
  <si>
    <t>https://messaggio.com/messaging/carriers/israel/hot_mobile/?utm_source=chatgpt.com</t>
  </si>
  <si>
    <t>Partner</t>
  </si>
  <si>
    <t>Hot mobile</t>
  </si>
  <si>
    <t xml:space="preserve">Rami Levi Telecommunications </t>
  </si>
  <si>
    <t xml:space="preserve">019 Mobile </t>
  </si>
  <si>
    <t>Cellcom + Golan Telecom</t>
  </si>
  <si>
    <t>Pelephone</t>
  </si>
  <si>
    <t>https://u.partner.co.il/media/xshl5qnx/presentation-eng.pdf?utm_source=chatgpt.com</t>
  </si>
  <si>
    <t>https://www.ifi.today/news/870-Partner-Communications-Reports-Strong-Q2-2025-Results-Profit-Up-26-Cash-Flow-Nearly-Doubled.html?utm_source=chatgpt.com</t>
  </si>
  <si>
    <t>yes</t>
  </si>
  <si>
    <t>https://investors.cellcom.co.il/wp-content/uploads/2025/08/Company-Presentation-Q225.pdf?utm_source=chatgpt.com</t>
  </si>
  <si>
    <t>https://www.gsma.com/get-involved/gsma-membership/gsma_orgs/019-mobile/?utm_source=chatgpt.com</t>
  </si>
  <si>
    <t>https://img.rami-levy.co.il/public/files/9f758d4d-4069-417a-8b59-01b0c732ee87.pdf</t>
  </si>
  <si>
    <t>share of market</t>
  </si>
  <si>
    <t>share of market - Cellcom estimates</t>
  </si>
  <si>
    <t>https://investors.cellcom.co.il/wp-content/uploads/2025/05/Cellcom-Israel-Ltd.-Periodic-Report-for-2024-1.pdf</t>
  </si>
  <si>
    <t>all MVNOs estimate by Cellcom</t>
  </si>
  <si>
    <t>sum of subscribers excluding xphone and minor players</t>
  </si>
  <si>
    <t>addition in order to make xphone 2.5%</t>
  </si>
  <si>
    <t>total subscriber count</t>
  </si>
  <si>
    <t>pre merger HHI</t>
  </si>
  <si>
    <t>S^2</t>
  </si>
  <si>
    <t>post merger HHI</t>
  </si>
  <si>
    <t>Partner + Hot mobile</t>
  </si>
  <si>
    <t xml:space="preserve">Xphone  </t>
  </si>
  <si>
    <t>ΔHHI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</si>
</sst>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71" formatCode="0.000"/>
    <numFmt numFmtId="173" formatCode="0.0%"/>
    <numFmt numFmtId="174" formatCode="0.000%"/>
    <numFmt numFmtId="177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2" fontId="0" fillId="0" borderId="0" xfId="0" applyNumberFormat="1"/>
    <xf numFmtId="14" fontId="0" fillId="0" borderId="0" xfId="0" applyNumberFormat="1"/>
    <xf numFmtId="171" fontId="0" fillId="0" borderId="0" xfId="0" applyNumberFormat="1"/>
    <xf numFmtId="173" fontId="0" fillId="0" borderId="0" xfId="2" applyNumberFormat="1" applyFont="1"/>
    <xf numFmtId="10" fontId="0" fillId="0" borderId="0" xfId="2" applyNumberFormat="1" applyFont="1"/>
    <xf numFmtId="174" fontId="0" fillId="0" borderId="0" xfId="0" applyNumberFormat="1"/>
    <xf numFmtId="174" fontId="0" fillId="0" borderId="0" xfId="2" applyNumberFormat="1" applyFont="1"/>
    <xf numFmtId="0" fontId="2" fillId="0" borderId="0" xfId="0" applyFont="1"/>
    <xf numFmtId="2" fontId="2" fillId="0" borderId="0" xfId="0" applyNumberFormat="1" applyFont="1"/>
    <xf numFmtId="177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33A4-E495-6D40-8B64-3C9D430DCE43}">
  <dimension ref="A1:H35"/>
  <sheetViews>
    <sheetView tabSelected="1" zoomScale="136" workbookViewId="0">
      <selection activeCell="G10" sqref="G10"/>
    </sheetView>
  </sheetViews>
  <sheetFormatPr baseColWidth="10" defaultRowHeight="16" x14ac:dyDescent="0.2"/>
  <cols>
    <col min="1" max="1" width="27.5" customWidth="1"/>
    <col min="2" max="4" width="23" style="1" customWidth="1"/>
    <col min="5" max="5" width="34.33203125" style="1" customWidth="1"/>
    <col min="6" max="6" width="20" style="2" bestFit="1" customWidth="1"/>
  </cols>
  <sheetData>
    <row r="1" spans="1:8" x14ac:dyDescent="0.2">
      <c r="A1" t="s">
        <v>0</v>
      </c>
      <c r="B1" s="1" t="s">
        <v>1</v>
      </c>
      <c r="C1" s="1" t="s">
        <v>19</v>
      </c>
      <c r="D1" s="1" t="s">
        <v>27</v>
      </c>
      <c r="E1" s="1" t="s">
        <v>20</v>
      </c>
      <c r="F1" s="2" t="s">
        <v>2</v>
      </c>
      <c r="G1" t="s">
        <v>4</v>
      </c>
      <c r="H1" t="s">
        <v>3</v>
      </c>
    </row>
    <row r="2" spans="1:8" x14ac:dyDescent="0.2">
      <c r="A2" t="s">
        <v>12</v>
      </c>
      <c r="B2" s="1">
        <v>2650000</v>
      </c>
      <c r="C2" s="6">
        <f>B2/$C$15</f>
        <v>0.22934049352032665</v>
      </c>
      <c r="D2" s="1">
        <f>(C2*100)^2</f>
        <v>525.97061968147</v>
      </c>
      <c r="E2" s="4">
        <v>0.23</v>
      </c>
      <c r="F2" s="2">
        <v>45838</v>
      </c>
      <c r="G2" t="s">
        <v>15</v>
      </c>
      <c r="H2" t="s">
        <v>14</v>
      </c>
    </row>
    <row r="3" spans="1:8" x14ac:dyDescent="0.2">
      <c r="A3" t="s">
        <v>8</v>
      </c>
      <c r="B3" s="1">
        <v>1579000</v>
      </c>
      <c r="C3" s="6">
        <f>B3/$C$15</f>
        <v>0.13665231670513048</v>
      </c>
      <c r="D3" s="1">
        <f t="shared" ref="D3:D10" si="0">(C3*100)^2</f>
        <v>186.73855660879283</v>
      </c>
      <c r="E3" s="4">
        <v>0.14000000000000001</v>
      </c>
      <c r="F3" s="2">
        <v>45886</v>
      </c>
      <c r="G3" t="s">
        <v>5</v>
      </c>
      <c r="H3" t="s">
        <v>6</v>
      </c>
    </row>
    <row r="4" spans="1:8" x14ac:dyDescent="0.2">
      <c r="A4" t="s">
        <v>7</v>
      </c>
      <c r="B4" s="1">
        <v>2651000</v>
      </c>
      <c r="C4" s="6">
        <f>B4/$C$15</f>
        <v>0.22942703710278717</v>
      </c>
      <c r="D4" s="1">
        <f t="shared" si="0"/>
        <v>526.36765353763678</v>
      </c>
      <c r="E4" s="4">
        <v>0.23</v>
      </c>
      <c r="F4" s="2">
        <v>45838</v>
      </c>
      <c r="G4" t="s">
        <v>15</v>
      </c>
      <c r="H4" t="s">
        <v>13</v>
      </c>
    </row>
    <row r="5" spans="1:8" x14ac:dyDescent="0.2">
      <c r="A5" t="s">
        <v>11</v>
      </c>
      <c r="B5" s="1">
        <v>3624000</v>
      </c>
      <c r="C5" s="6">
        <f>B5/$C$15</f>
        <v>0.31363394283685425</v>
      </c>
      <c r="D5" s="1">
        <f t="shared" si="0"/>
        <v>983.66250099391175</v>
      </c>
      <c r="E5" s="4">
        <v>0.32</v>
      </c>
      <c r="F5" s="2">
        <v>45839</v>
      </c>
      <c r="G5" t="s">
        <v>15</v>
      </c>
      <c r="H5" t="s">
        <v>16</v>
      </c>
    </row>
    <row r="6" spans="1:8" x14ac:dyDescent="0.2">
      <c r="A6" t="s">
        <v>9</v>
      </c>
      <c r="B6" s="1">
        <v>412000</v>
      </c>
      <c r="C6" s="6">
        <f>B6/$C$15</f>
        <v>3.5655955973726255E-2</v>
      </c>
      <c r="D6" s="1">
        <f t="shared" si="0"/>
        <v>12.713471964003052</v>
      </c>
      <c r="E6" s="4"/>
      <c r="F6" s="2">
        <v>45747</v>
      </c>
      <c r="G6" t="s">
        <v>5</v>
      </c>
      <c r="H6" t="s">
        <v>18</v>
      </c>
    </row>
    <row r="7" spans="1:8" x14ac:dyDescent="0.2">
      <c r="A7" t="s">
        <v>10</v>
      </c>
      <c r="B7" s="1">
        <v>350000</v>
      </c>
      <c r="C7" s="6">
        <f>B7/$C$15</f>
        <v>3.0290253861175221E-2</v>
      </c>
      <c r="D7" s="1">
        <f t="shared" si="0"/>
        <v>9.1749947897444049</v>
      </c>
      <c r="E7" s="4"/>
      <c r="F7" s="2">
        <v>45886</v>
      </c>
      <c r="G7" t="s">
        <v>5</v>
      </c>
      <c r="H7" t="s">
        <v>17</v>
      </c>
    </row>
    <row r="8" spans="1:8" x14ac:dyDescent="0.2">
      <c r="A8" t="s">
        <v>30</v>
      </c>
      <c r="B8" s="1">
        <f>C14</f>
        <v>288871.79487179487</v>
      </c>
      <c r="C8" s="7">
        <f>B8/$C$15</f>
        <v>2.5000000000000001E-2</v>
      </c>
      <c r="D8" s="1">
        <f t="shared" si="0"/>
        <v>6.25</v>
      </c>
      <c r="E8" s="4">
        <v>2.5000000000000001E-2</v>
      </c>
      <c r="G8" t="s">
        <v>5</v>
      </c>
      <c r="H8" t="s">
        <v>21</v>
      </c>
    </row>
    <row r="9" spans="1:8" x14ac:dyDescent="0.2">
      <c r="A9" t="s">
        <v>22</v>
      </c>
      <c r="C9" s="7"/>
      <c r="E9" s="4">
        <v>5.5E-2</v>
      </c>
      <c r="G9" t="s">
        <v>5</v>
      </c>
      <c r="H9" t="s">
        <v>21</v>
      </c>
    </row>
    <row r="10" spans="1:8" x14ac:dyDescent="0.2">
      <c r="A10" t="s">
        <v>29</v>
      </c>
      <c r="B10" s="1">
        <f>B4+B3</f>
        <v>4230000</v>
      </c>
      <c r="C10" s="7">
        <f>B10/$C$15</f>
        <v>0.36607935380791767</v>
      </c>
      <c r="D10" s="1">
        <f t="shared" si="0"/>
        <v>1340.1409328442255</v>
      </c>
    </row>
    <row r="11" spans="1:8" x14ac:dyDescent="0.2">
      <c r="C11" s="5"/>
      <c r="D11" s="5"/>
    </row>
    <row r="12" spans="1:8" x14ac:dyDescent="0.2">
      <c r="E12" s="1">
        <f>SUM(E2:E9)</f>
        <v>1</v>
      </c>
    </row>
    <row r="13" spans="1:8" x14ac:dyDescent="0.2">
      <c r="A13" t="s">
        <v>23</v>
      </c>
      <c r="C13" s="1">
        <f>SUM(B2:B7)</f>
        <v>11266000</v>
      </c>
    </row>
    <row r="14" spans="1:8" x14ac:dyDescent="0.2">
      <c r="A14" t="s">
        <v>24</v>
      </c>
      <c r="C14" s="1">
        <f>(C13*0.025)/0.975</f>
        <v>288871.79487179487</v>
      </c>
    </row>
    <row r="15" spans="1:8" x14ac:dyDescent="0.2">
      <c r="A15" s="8" t="s">
        <v>25</v>
      </c>
      <c r="B15" s="9"/>
      <c r="C15" s="9">
        <f>SUM(B2:B8)</f>
        <v>11554871.794871794</v>
      </c>
      <c r="D15" s="9"/>
    </row>
    <row r="18" spans="1:4" x14ac:dyDescent="0.2">
      <c r="A18" t="s">
        <v>26</v>
      </c>
      <c r="B18" s="1">
        <f>SUM(D2:D8)</f>
        <v>2250.8777975755584</v>
      </c>
      <c r="C18" s="3"/>
      <c r="D18" s="3"/>
    </row>
    <row r="19" spans="1:4" x14ac:dyDescent="0.2">
      <c r="A19" t="s">
        <v>28</v>
      </c>
      <c r="B19" s="1">
        <f>D2+SUM(D5:D10)</f>
        <v>2877.9125202733549</v>
      </c>
    </row>
    <row r="20" spans="1:4" x14ac:dyDescent="0.2">
      <c r="A20" t="s">
        <v>31</v>
      </c>
      <c r="B20" s="1">
        <f>B19-B18</f>
        <v>627.0347226977965</v>
      </c>
    </row>
    <row r="28" spans="1:4" x14ac:dyDescent="0.2">
      <c r="B28" s="10"/>
      <c r="C28" s="5"/>
    </row>
    <row r="29" spans="1:4" x14ac:dyDescent="0.2">
      <c r="B29" s="10"/>
      <c r="C29" s="5"/>
    </row>
    <row r="30" spans="1:4" x14ac:dyDescent="0.2">
      <c r="B30" s="10"/>
      <c r="C30" s="5"/>
    </row>
    <row r="31" spans="1:4" x14ac:dyDescent="0.2">
      <c r="B31" s="10"/>
      <c r="C31" s="5"/>
    </row>
    <row r="32" spans="1:4" x14ac:dyDescent="0.2">
      <c r="B32" s="10"/>
      <c r="C32" s="5"/>
    </row>
    <row r="33" spans="2:3" x14ac:dyDescent="0.2">
      <c r="B33" s="10"/>
      <c r="C33" s="5"/>
    </row>
    <row r="34" spans="2:3" x14ac:dyDescent="0.2">
      <c r="B34" s="10"/>
      <c r="C34" s="5"/>
    </row>
    <row r="35" spans="2:3" x14ac:dyDescent="0.2">
      <c r="B35" s="10"/>
      <c r="C3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Moti Nekrich</dc:creator>
  <cp:lastModifiedBy>Moti Nekrich</cp:lastModifiedBy>
  <dcterms:created xsi:type="dcterms:W3CDTF">2025-08-18T22:35:23Z</dcterms:created>
  <dcterms:modified xsi:type="dcterms:W3CDTF">2025-08-19T01:01:17Z</dcterms:modified>
</cp:coreProperties>
</file>